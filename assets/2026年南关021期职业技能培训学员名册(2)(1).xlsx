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<sst xmlns="http://schemas.openxmlformats.org/spreadsheetml/2006/main" count="263" uniqueCount="116">
  <si>
    <t>长春市南关区2026年第（021）期（人工智能训练师）技能培训学员名册</t>
  </si>
  <si>
    <t>培训单位：吉林省德泽职业技能培训学校                                                       培训时间：2026年7月20日——2026年7月28日</t>
  </si>
  <si>
    <t>序号</t>
  </si>
  <si>
    <t>姓名</t>
  </si>
  <si>
    <t>性别</t>
  </si>
  <si>
    <t>年龄</t>
  </si>
  <si>
    <t>民族</t>
  </si>
  <si>
    <t>公民身份号码</t>
  </si>
  <si>
    <t>培训工种专业</t>
  </si>
  <si>
    <t>培训等级</t>
  </si>
  <si>
    <t>培训人员类别</t>
  </si>
  <si>
    <t>培训学员家庭住址</t>
  </si>
  <si>
    <t>联系电话</t>
  </si>
  <si>
    <t>备注</t>
  </si>
  <si>
    <t>刘莉娜</t>
  </si>
  <si>
    <t>女</t>
  </si>
  <si>
    <t>汉</t>
  </si>
  <si>
    <t>220104197601238449</t>
  </si>
  <si>
    <t>人工智能训练师</t>
  </si>
  <si>
    <t>初级</t>
  </si>
  <si>
    <t>城镇登记失业人员</t>
  </si>
  <si>
    <t>吉林省长春市绿园区东风大街三十九街区717栋3门47中门</t>
  </si>
  <si>
    <t>冯啸天</t>
  </si>
  <si>
    <t>男</t>
  </si>
  <si>
    <t>220381199602156034</t>
  </si>
  <si>
    <t>吉林省公主岭市双城堡镇双城堡村四组</t>
  </si>
  <si>
    <t>郑爽</t>
  </si>
  <si>
    <t>220106199311150627</t>
  </si>
  <si>
    <t>长春市二道区八里堡街道新乡委116组</t>
  </si>
  <si>
    <t>刘姝</t>
  </si>
  <si>
    <t>220104198109297329</t>
  </si>
  <si>
    <t>长春市朝阳区永春镇柳家村柳家窝堡屯</t>
  </si>
  <si>
    <t>吴昌奇</t>
  </si>
  <si>
    <t>220724200412233414</t>
  </si>
  <si>
    <t>长春市南关区鸿城街道东岭西委32组</t>
  </si>
  <si>
    <t>郑丹</t>
  </si>
  <si>
    <t>22010619950718102X</t>
  </si>
  <si>
    <t>长春市绿园区春城街道泰来街委55组</t>
  </si>
  <si>
    <t>李宏艳</t>
  </si>
  <si>
    <t>220102198003275065</t>
  </si>
  <si>
    <t>长春市朝阳区西康路15号</t>
  </si>
  <si>
    <t>朱小妹</t>
  </si>
  <si>
    <t>341125198609044387</t>
  </si>
  <si>
    <t>吉林省公主岭市八屋镇张家屯村七组</t>
  </si>
  <si>
    <t>高保燕</t>
  </si>
  <si>
    <t>220581200105263863</t>
  </si>
  <si>
    <t>长春市南关区新城大街长电朗天国际小区1栋1单元2703室</t>
  </si>
  <si>
    <t>魏秀华</t>
  </si>
  <si>
    <t>220381197902052844</t>
  </si>
  <si>
    <t>长春市南关区新立城镇新立城村小南河北屯</t>
  </si>
  <si>
    <t>崔学坤</t>
  </si>
  <si>
    <t>满</t>
  </si>
  <si>
    <t>211223200108312017</t>
  </si>
  <si>
    <t>长春市宽城区柳影街道宋家路委53组</t>
  </si>
  <si>
    <t>王艺霖</t>
  </si>
  <si>
    <t>220204198305050361</t>
  </si>
  <si>
    <t>长春市南关区明珠街道化工地质勘察院委78组</t>
  </si>
  <si>
    <t>苏靖哲</t>
  </si>
  <si>
    <t>220882199501024538</t>
  </si>
  <si>
    <t>吉林省大安市慧阳街二委七组</t>
  </si>
  <si>
    <t>柳环宇</t>
  </si>
  <si>
    <t>朝鲜</t>
  </si>
  <si>
    <t>220104200011153810</t>
  </si>
  <si>
    <t>长春市朝阳区工农大路31-15号</t>
  </si>
  <si>
    <t>刘迪</t>
  </si>
  <si>
    <t>21142219920914068X</t>
  </si>
  <si>
    <t>长春市九台区营城街道向阳村4组</t>
  </si>
  <si>
    <t>刘蕾</t>
  </si>
  <si>
    <t>220181198909266945</t>
  </si>
  <si>
    <t>吉林省九台市龙家堡镇红光村6组</t>
  </si>
  <si>
    <t>李晶</t>
  </si>
  <si>
    <t>220106198705041429</t>
  </si>
  <si>
    <t>长春市绿园区支农大街五十一街区委同心村西广队</t>
  </si>
  <si>
    <t>王梅</t>
  </si>
  <si>
    <t>220103197808302923</t>
  </si>
  <si>
    <t>长春市二道区远达街道康城委43组</t>
  </si>
  <si>
    <t>赵英楠</t>
  </si>
  <si>
    <t>220105198401300237</t>
  </si>
  <si>
    <t>长春市南关区新春街道乐礼胡同委104组</t>
  </si>
  <si>
    <t>王春雨</t>
  </si>
  <si>
    <t>22012219800508222X</t>
  </si>
  <si>
    <t>长春市南关区曙光街道永发胡同北委216组</t>
  </si>
  <si>
    <t>刘玉楠</t>
  </si>
  <si>
    <t>220111197505062029</t>
  </si>
  <si>
    <t>长春市南关区东方广场街道花园路委16组</t>
  </si>
  <si>
    <t>姜美卉</t>
  </si>
  <si>
    <t>220183199107015623</t>
  </si>
  <si>
    <t>吉林省德惠市岔路口镇三角泡村三角泡屯1组</t>
  </si>
  <si>
    <t>杨美德</t>
  </si>
  <si>
    <t>220183199606082214</t>
  </si>
  <si>
    <t>吉林省德惠市郭家镇六马架村林家店屯7组</t>
  </si>
  <si>
    <t>刘晨</t>
  </si>
  <si>
    <t>220103198401060410</t>
  </si>
  <si>
    <t>长春市宽城区站前街道杭州路委13组</t>
  </si>
  <si>
    <t>冉丽</t>
  </si>
  <si>
    <t>220284198311095840</t>
  </si>
  <si>
    <t>长春市南关区人民大街8668号长春明珠D38栋2单元101室</t>
  </si>
  <si>
    <t>李文书</t>
  </si>
  <si>
    <t>220122199103183563</t>
  </si>
  <si>
    <t>吉林省农安县开安镇街道2组</t>
  </si>
  <si>
    <t>王淑丽</t>
  </si>
  <si>
    <t>220183198310192823</t>
  </si>
  <si>
    <t>吉林省德惠市同太乡立新村后四马架子屯6组</t>
  </si>
  <si>
    <t>王嘉怡</t>
  </si>
  <si>
    <t>220181200212092826</t>
  </si>
  <si>
    <t>吉林省九台市苇子沟镇八台村4组</t>
  </si>
  <si>
    <t>王婷婷</t>
  </si>
  <si>
    <t>220112199910151047</t>
  </si>
  <si>
    <t>长春市双阳区齐家镇关家村西关家屯</t>
  </si>
  <si>
    <t>陈红伟</t>
  </si>
  <si>
    <t>22012219890515361X</t>
  </si>
  <si>
    <t>吉林省农安县开安镇开安村进展屯1组</t>
  </si>
  <si>
    <t>王丽莉</t>
  </si>
  <si>
    <t>220284198311207021</t>
  </si>
  <si>
    <t>长春市绿园区正阳街道绥中路南委14组</t>
  </si>
  <si>
    <t xml:space="preserve">  注：培训人员类别分类为：贫困家庭子女、毕业年度高校毕业生、城乡未继续升学的应届初高中毕业生、农村转移就业劳动力、城镇登记失业人员、退役军人、残疾人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</si>
</sst>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2"/>
      <color theme="1"/>
      <name val="仿宋"/>
      <charset val="134"/>
    </font>
    <font>
      <b/>
      <sz val="12"/>
      <color rgb="FF000000"/>
      <name val="仿宋"/>
      <charset val="134"/>
    </font>
    <font>
      <b/>
      <sz val="11"/>
      <color rgb="FF000000"/>
      <name val="仿宋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K34" sqref="K34"/>
    </sheetView>
  </sheetViews>
  <sheetFormatPr defaultColWidth="9" defaultRowHeight="14"/>
  <cols>
    <col min="1" max="1" width="5.38181818181818" customWidth="1"/>
    <col min="2" max="2" width="6.75454545454545" customWidth="1"/>
    <col min="3" max="3" width="5.66363636363636" customWidth="1"/>
    <col min="4" max="4" width="7" customWidth="1"/>
    <col min="5" max="5" width="7.10909090909091" customWidth="1"/>
    <col min="6" max="6" width="20.1090909090909" customWidth="1"/>
    <col min="7" max="7" width="13.8818181818182" customWidth="1"/>
    <col min="8" max="8" width="8.10909090909091" customWidth="1"/>
    <col min="9" max="9" width="17.9090909090909" customWidth="1"/>
    <col min="10" max="10" width="55.7818181818182" customWidth="1"/>
    <col min="11" max="11" width="14.5" customWidth="1"/>
    <col min="12" max="12" width="7.10909090909091" customWidth="1"/>
  </cols>
  <sheetData>
    <row r="1" ht="27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9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3" t="s">
        <v>11</v>
      </c>
      <c r="K3" s="3" t="s">
        <v>12</v>
      </c>
      <c r="L3" s="3" t="s">
        <v>13</v>
      </c>
    </row>
    <row r="4" spans="1:12">
      <c r="A4" s="5">
        <v>1</v>
      </c>
      <c r="B4" s="6" t="s">
        <v>14</v>
      </c>
      <c r="C4" s="5" t="s">
        <v>15</v>
      </c>
      <c r="D4" s="5" cm="1">
        <f ca="1" t="array" ref="D4">_xlfn.IFS(LEN(F4)=15,DATEDIF(TEXT("19"&amp;MID(F4,7,6),"0-00-00"),TODAY(),"y"),LEN(F4)=18,DATEDIF(TEXT(MID(F4,7,8),"0-00-00"),TODAY(),"y"),TRUE,"身份证错误")</f>
        <v>50</v>
      </c>
      <c r="E4" s="7" t="s">
        <v>16</v>
      </c>
      <c r="F4" s="8" t="s">
        <v>17</v>
      </c>
      <c r="G4" s="6" t="s">
        <v>18</v>
      </c>
      <c r="H4" s="6" t="s">
        <v>19</v>
      </c>
      <c r="I4" s="6" t="s">
        <v>20</v>
      </c>
      <c r="J4" s="7" t="s">
        <v>21</v>
      </c>
      <c r="K4" s="9">
        <v>13251743118</v>
      </c>
      <c r="L4" s="9"/>
    </row>
    <row r="5" spans="1:12">
      <c r="A5" s="5">
        <v>2</v>
      </c>
      <c r="B5" s="6" t="s">
        <v>22</v>
      </c>
      <c r="C5" s="5" t="s">
        <v>23</v>
      </c>
      <c r="D5" s="5" cm="1">
        <f ca="1" t="array" ref="D5">_xlfn.IFS(LEN(F5)=15,DATEDIF(TEXT("19"&amp;MID(F5,7,6),"0-00-00"),TODAY(),"y"),LEN(F5)=18,DATEDIF(TEXT(MID(F5,7,8),"0-00-00"),TODAY(),"y"),TRUE,"身份证错误")</f>
        <v>30</v>
      </c>
      <c r="E5" s="7" t="s">
        <v>16</v>
      </c>
      <c r="F5" s="8" t="s">
        <v>24</v>
      </c>
      <c r="G5" s="6" t="s">
        <v>18</v>
      </c>
      <c r="H5" s="6" t="s">
        <v>19</v>
      </c>
      <c r="I5" s="6" t="s">
        <v>20</v>
      </c>
      <c r="J5" s="7" t="s">
        <v>25</v>
      </c>
      <c r="K5" s="9">
        <v>15043069094</v>
      </c>
      <c r="L5" s="9"/>
    </row>
    <row r="6" spans="1:12">
      <c r="A6" s="5">
        <v>3</v>
      </c>
      <c r="B6" s="6" t="s">
        <v>26</v>
      </c>
      <c r="C6" s="5" t="s">
        <v>15</v>
      </c>
      <c r="D6" s="5" cm="1">
        <f ca="1" t="array" ref="D6">_xlfn.IFS(LEN(F6)=15,DATEDIF(TEXT("19"&amp;MID(F6,7,6),"0-00-00"),TODAY(),"y"),LEN(F6)=18,DATEDIF(TEXT(MID(F6,7,8),"0-00-00"),TODAY(),"y"),TRUE,"身份证错误")</f>
        <v>32</v>
      </c>
      <c r="E6" s="7" t="s">
        <v>16</v>
      </c>
      <c r="F6" s="8" t="s">
        <v>27</v>
      </c>
      <c r="G6" s="6" t="s">
        <v>18</v>
      </c>
      <c r="H6" s="6" t="s">
        <v>19</v>
      </c>
      <c r="I6" s="6" t="s">
        <v>20</v>
      </c>
      <c r="J6" s="7" t="s">
        <v>28</v>
      </c>
      <c r="K6" s="9">
        <v>15043098427</v>
      </c>
      <c r="L6" s="9"/>
    </row>
    <row r="7" spans="1:12">
      <c r="A7" s="5">
        <v>4</v>
      </c>
      <c r="B7" s="6" t="s">
        <v>29</v>
      </c>
      <c r="C7" s="5" t="s">
        <v>15</v>
      </c>
      <c r="D7" s="5" cm="1">
        <f ca="1" t="array" ref="D7">_xlfn.IFS(LEN(F7)=15,DATEDIF(TEXT("19"&amp;MID(F7,7,6),"0-00-00"),TODAY(),"y"),LEN(F7)=18,DATEDIF(TEXT(MID(F7,7,8),"0-00-00"),TODAY(),"y"),TRUE,"身份证错误")</f>
        <v>44</v>
      </c>
      <c r="E7" s="7" t="s">
        <v>16</v>
      </c>
      <c r="F7" s="8" t="s">
        <v>30</v>
      </c>
      <c r="G7" s="6" t="s">
        <v>18</v>
      </c>
      <c r="H7" s="6" t="s">
        <v>19</v>
      </c>
      <c r="I7" s="6" t="s">
        <v>20</v>
      </c>
      <c r="J7" s="7" t="s">
        <v>31</v>
      </c>
      <c r="K7" s="9">
        <v>13624466932</v>
      </c>
      <c r="L7" s="9"/>
    </row>
    <row r="8" spans="1:12">
      <c r="A8" s="5">
        <v>5</v>
      </c>
      <c r="B8" s="6" t="s">
        <v>32</v>
      </c>
      <c r="C8" s="5" t="s">
        <v>23</v>
      </c>
      <c r="D8" s="5" cm="1">
        <f ca="1" t="array" ref="D8">_xlfn.IFS(LEN(F8)=15,DATEDIF(TEXT("19"&amp;MID(F8,7,6),"0-00-00"),TODAY(),"y"),LEN(F8)=18,DATEDIF(TEXT(MID(F8,7,8),"0-00-00"),TODAY(),"y"),TRUE,"身份证错误")</f>
        <v>21</v>
      </c>
      <c r="E8" s="7" t="s">
        <v>16</v>
      </c>
      <c r="F8" s="8" t="s">
        <v>33</v>
      </c>
      <c r="G8" s="6" t="s">
        <v>18</v>
      </c>
      <c r="H8" s="6" t="s">
        <v>19</v>
      </c>
      <c r="I8" s="6" t="s">
        <v>20</v>
      </c>
      <c r="J8" s="7" t="s">
        <v>34</v>
      </c>
      <c r="K8" s="9">
        <v>13341401868</v>
      </c>
      <c r="L8" s="9"/>
    </row>
    <row r="9" spans="1:12">
      <c r="A9" s="5">
        <v>6</v>
      </c>
      <c r="B9" s="6" t="s">
        <v>35</v>
      </c>
      <c r="C9" s="5" t="s">
        <v>15</v>
      </c>
      <c r="D9" s="5" cm="1">
        <f ca="1" t="array" ref="D9">_xlfn.IFS(LEN(F9)=15,DATEDIF(TEXT("19"&amp;MID(F9,7,6),"0-00-00"),TODAY(),"y"),LEN(F9)=18,DATEDIF(TEXT(MID(F9,7,8),"0-00-00"),TODAY(),"y"),TRUE,"身份证错误")</f>
        <v>30</v>
      </c>
      <c r="E9" s="7" t="s">
        <v>16</v>
      </c>
      <c r="F9" s="8" t="s">
        <v>36</v>
      </c>
      <c r="G9" s="6" t="s">
        <v>18</v>
      </c>
      <c r="H9" s="6" t="s">
        <v>19</v>
      </c>
      <c r="I9" s="6" t="s">
        <v>20</v>
      </c>
      <c r="J9" s="7" t="s">
        <v>37</v>
      </c>
      <c r="K9" s="9">
        <v>15764334612</v>
      </c>
      <c r="L9" s="9"/>
    </row>
    <row r="10" spans="1:12">
      <c r="A10" s="5">
        <v>7</v>
      </c>
      <c r="B10" s="6" t="s">
        <v>38</v>
      </c>
      <c r="C10" s="5" t="s">
        <v>15</v>
      </c>
      <c r="D10" s="5" cm="1">
        <f ca="1" t="array" ref="D10">_xlfn.IFS(LEN(F10)=15,DATEDIF(TEXT("19"&amp;MID(F10,7,6),"0-00-00"),TODAY(),"y"),LEN(F10)=18,DATEDIF(TEXT(MID(F10,7,8),"0-00-00"),TODAY(),"y"),TRUE,"身份证错误")</f>
        <v>46</v>
      </c>
      <c r="E10" s="7" t="s">
        <v>16</v>
      </c>
      <c r="F10" s="8" t="s">
        <v>39</v>
      </c>
      <c r="G10" s="6" t="s">
        <v>18</v>
      </c>
      <c r="H10" s="6" t="s">
        <v>19</v>
      </c>
      <c r="I10" s="6" t="s">
        <v>20</v>
      </c>
      <c r="J10" s="7" t="s">
        <v>40</v>
      </c>
      <c r="K10" s="9">
        <v>18904303255</v>
      </c>
      <c r="L10" s="9"/>
    </row>
    <row r="11" spans="1:12">
      <c r="A11" s="5">
        <v>8</v>
      </c>
      <c r="B11" s="6" t="s">
        <v>41</v>
      </c>
      <c r="C11" s="5" t="s">
        <v>15</v>
      </c>
      <c r="D11" s="5" cm="1">
        <f ca="1" t="array" ref="D11">_xlfn.IFS(LEN(F11)=15,DATEDIF(TEXT("19"&amp;MID(F11,7,6),"0-00-00"),TODAY(),"y"),LEN(F11)=18,DATEDIF(TEXT(MID(F11,7,8),"0-00-00"),TODAY(),"y"),TRUE,"身份证错误")</f>
        <v>39</v>
      </c>
      <c r="E11" s="7" t="s">
        <v>16</v>
      </c>
      <c r="F11" s="8" t="s">
        <v>42</v>
      </c>
      <c r="G11" s="6" t="s">
        <v>18</v>
      </c>
      <c r="H11" s="6" t="s">
        <v>19</v>
      </c>
      <c r="I11" s="6" t="s">
        <v>20</v>
      </c>
      <c r="J11" s="7" t="s">
        <v>43</v>
      </c>
      <c r="K11" s="9">
        <v>17843376177</v>
      </c>
      <c r="L11" s="9"/>
    </row>
    <row r="12" ht="15" customHeight="1" spans="1:12">
      <c r="A12" s="5">
        <v>9</v>
      </c>
      <c r="B12" s="6" t="s">
        <v>44</v>
      </c>
      <c r="C12" s="5" t="s">
        <v>15</v>
      </c>
      <c r="D12" s="5" cm="1">
        <f ca="1" t="array" ref="D12">_xlfn.IFS(LEN(F12)=15,DATEDIF(TEXT("19"&amp;MID(F12,7,6),"0-00-00"),TODAY(),"y"),LEN(F12)=18,DATEDIF(TEXT(MID(F12,7,8),"0-00-00"),TODAY(),"y"),TRUE,"身份证错误")</f>
        <v>25</v>
      </c>
      <c r="E12" s="7" t="s">
        <v>16</v>
      </c>
      <c r="F12" s="8" t="s">
        <v>45</v>
      </c>
      <c r="G12" s="6" t="s">
        <v>18</v>
      </c>
      <c r="H12" s="6" t="s">
        <v>19</v>
      </c>
      <c r="I12" s="6" t="s">
        <v>20</v>
      </c>
      <c r="J12" s="5" t="s">
        <v>46</v>
      </c>
      <c r="K12" s="9">
        <v>13174301685</v>
      </c>
      <c r="L12" s="9"/>
    </row>
    <row r="13" ht="15" customHeight="1" spans="1:12">
      <c r="A13" s="5">
        <v>10</v>
      </c>
      <c r="B13" s="6" t="s">
        <v>47</v>
      </c>
      <c r="C13" s="5" t="s">
        <v>15</v>
      </c>
      <c r="D13" s="5" cm="1">
        <f ca="1" t="array" ref="D13">_xlfn.IFS(LEN(F13)=15,DATEDIF(TEXT("19"&amp;MID(F13,7,6),"0-00-00"),TODAY(),"y"),LEN(F13)=18,DATEDIF(TEXT(MID(F13,7,8),"0-00-00"),TODAY(),"y"),TRUE,"身份证错误")</f>
        <v>47</v>
      </c>
      <c r="E13" s="7" t="s">
        <v>16</v>
      </c>
      <c r="F13" s="8" t="s">
        <v>48</v>
      </c>
      <c r="G13" s="6" t="s">
        <v>18</v>
      </c>
      <c r="H13" s="6" t="s">
        <v>19</v>
      </c>
      <c r="I13" s="6" t="s">
        <v>20</v>
      </c>
      <c r="J13" s="5" t="s">
        <v>49</v>
      </c>
      <c r="K13" s="9">
        <v>13944879907</v>
      </c>
      <c r="L13" s="9"/>
    </row>
    <row r="14" spans="1:12">
      <c r="A14" s="5">
        <v>11</v>
      </c>
      <c r="B14" s="6" t="s">
        <v>50</v>
      </c>
      <c r="C14" s="5" t="s">
        <v>23</v>
      </c>
      <c r="D14" s="5" cm="1">
        <f ca="1" t="array" ref="D14">_xlfn.IFS(LEN(F14)=15,DATEDIF(TEXT("19"&amp;MID(F14,7,6),"0-00-00"),TODAY(),"y"),LEN(F14)=18,DATEDIF(TEXT(MID(F14,7,8),"0-00-00"),TODAY(),"y"),TRUE,"身份证错误")</f>
        <v>24</v>
      </c>
      <c r="E14" s="7" t="s">
        <v>51</v>
      </c>
      <c r="F14" s="8" t="s">
        <v>52</v>
      </c>
      <c r="G14" s="6" t="s">
        <v>18</v>
      </c>
      <c r="H14" s="6" t="s">
        <v>19</v>
      </c>
      <c r="I14" s="6" t="s">
        <v>20</v>
      </c>
      <c r="J14" s="7" t="s">
        <v>53</v>
      </c>
      <c r="K14" s="9">
        <v>18553028112</v>
      </c>
      <c r="L14" s="9"/>
    </row>
    <row r="15" spans="1:12">
      <c r="A15" s="5">
        <v>12</v>
      </c>
      <c r="B15" s="6" t="s">
        <v>54</v>
      </c>
      <c r="C15" s="5" t="s">
        <v>15</v>
      </c>
      <c r="D15" s="5" cm="1">
        <f ca="1" t="array" ref="D15">_xlfn.IFS(LEN(F15)=15,DATEDIF(TEXT("19"&amp;MID(F15,7,6),"0-00-00"),TODAY(),"y"),LEN(F15)=18,DATEDIF(TEXT(MID(F15,7,8),"0-00-00"),TODAY(),"y"),TRUE,"身份证错误")</f>
        <v>43</v>
      </c>
      <c r="E15" s="7" t="s">
        <v>16</v>
      </c>
      <c r="F15" s="8" t="s">
        <v>55</v>
      </c>
      <c r="G15" s="6" t="s">
        <v>18</v>
      </c>
      <c r="H15" s="6" t="s">
        <v>19</v>
      </c>
      <c r="I15" s="6" t="s">
        <v>20</v>
      </c>
      <c r="J15" s="7" t="s">
        <v>56</v>
      </c>
      <c r="K15" s="9">
        <v>13252611695</v>
      </c>
      <c r="L15" s="9"/>
    </row>
    <row r="16" spans="1:12">
      <c r="A16" s="5">
        <v>13</v>
      </c>
      <c r="B16" s="6" t="s">
        <v>57</v>
      </c>
      <c r="C16" s="5" t="s">
        <v>23</v>
      </c>
      <c r="D16" s="5" cm="1">
        <f ca="1" t="array" ref="D16">_xlfn.IFS(LEN(F16)=15,DATEDIF(TEXT("19"&amp;MID(F16,7,6),"0-00-00"),TODAY(),"y"),LEN(F16)=18,DATEDIF(TEXT(MID(F16,7,8),"0-00-00"),TODAY(),"y"),TRUE,"身份证错误")</f>
        <v>31</v>
      </c>
      <c r="E16" s="7" t="s">
        <v>16</v>
      </c>
      <c r="F16" s="8" t="s">
        <v>58</v>
      </c>
      <c r="G16" s="6" t="s">
        <v>18</v>
      </c>
      <c r="H16" s="6" t="s">
        <v>19</v>
      </c>
      <c r="I16" s="6" t="s">
        <v>20</v>
      </c>
      <c r="J16" s="7" t="s">
        <v>59</v>
      </c>
      <c r="K16" s="9">
        <v>15585519952</v>
      </c>
      <c r="L16" s="9"/>
    </row>
    <row r="17" spans="1:12">
      <c r="A17" s="5">
        <v>14</v>
      </c>
      <c r="B17" s="6" t="s">
        <v>60</v>
      </c>
      <c r="C17" s="5" t="s">
        <v>23</v>
      </c>
      <c r="D17" s="5" cm="1">
        <f ca="1" t="array" ref="D17">_xlfn.IFS(LEN(F17)=15,DATEDIF(TEXT("19"&amp;MID(F17,7,6),"0-00-00"),TODAY(),"y"),LEN(F17)=18,DATEDIF(TEXT(MID(F17,7,8),"0-00-00"),TODAY(),"y"),TRUE,"身份证错误")</f>
        <v>25</v>
      </c>
      <c r="E17" s="7" t="s">
        <v>61</v>
      </c>
      <c r="F17" s="8" t="s">
        <v>62</v>
      </c>
      <c r="G17" s="6" t="s">
        <v>18</v>
      </c>
      <c r="H17" s="6" t="s">
        <v>19</v>
      </c>
      <c r="I17" s="6" t="s">
        <v>20</v>
      </c>
      <c r="J17" s="7" t="s">
        <v>63</v>
      </c>
      <c r="K17" s="9">
        <v>13578801278</v>
      </c>
      <c r="L17" s="9"/>
    </row>
    <row r="18" spans="1:12">
      <c r="A18" s="5">
        <v>15</v>
      </c>
      <c r="B18" s="6" t="s">
        <v>64</v>
      </c>
      <c r="C18" s="5" t="s">
        <v>15</v>
      </c>
      <c r="D18" s="5" cm="1">
        <f ca="1" t="array" ref="D18">_xlfn.IFS(LEN(F18)=15,DATEDIF(TEXT("19"&amp;MID(F18,7,6),"0-00-00"),TODAY(),"y"),LEN(F18)=18,DATEDIF(TEXT(MID(F18,7,8),"0-00-00"),TODAY(),"y"),TRUE,"身份证错误")</f>
        <v>33</v>
      </c>
      <c r="E18" s="7" t="s">
        <v>16</v>
      </c>
      <c r="F18" s="8" t="s">
        <v>65</v>
      </c>
      <c r="G18" s="6" t="s">
        <v>18</v>
      </c>
      <c r="H18" s="6" t="s">
        <v>19</v>
      </c>
      <c r="I18" s="6" t="s">
        <v>20</v>
      </c>
      <c r="J18" s="7" t="s">
        <v>66</v>
      </c>
      <c r="K18" s="9">
        <v>13331684056</v>
      </c>
      <c r="L18" s="9"/>
    </row>
    <row r="19" spans="1:12">
      <c r="A19" s="5">
        <v>16</v>
      </c>
      <c r="B19" s="6" t="s">
        <v>67</v>
      </c>
      <c r="C19" s="5" t="s">
        <v>15</v>
      </c>
      <c r="D19" s="5" cm="1">
        <f ca="1" t="array" ref="D19">_xlfn.IFS(LEN(F19)=15,DATEDIF(TEXT("19"&amp;MID(F19,7,6),"0-00-00"),TODAY(),"y"),LEN(F19)=18,DATEDIF(TEXT(MID(F19,7,8),"0-00-00"),TODAY(),"y"),TRUE,"身份证错误")</f>
        <v>36</v>
      </c>
      <c r="E19" s="7" t="s">
        <v>16</v>
      </c>
      <c r="F19" s="8" t="s">
        <v>68</v>
      </c>
      <c r="G19" s="6" t="s">
        <v>18</v>
      </c>
      <c r="H19" s="6" t="s">
        <v>19</v>
      </c>
      <c r="I19" s="6" t="s">
        <v>20</v>
      </c>
      <c r="J19" s="7" t="s">
        <v>69</v>
      </c>
      <c r="K19" s="9">
        <v>15843060308</v>
      </c>
      <c r="L19" s="9"/>
    </row>
    <row r="20" spans="1:12">
      <c r="A20" s="5">
        <v>17</v>
      </c>
      <c r="B20" s="6" t="s">
        <v>70</v>
      </c>
      <c r="C20" s="5" t="s">
        <v>15</v>
      </c>
      <c r="D20" s="5" cm="1">
        <f ca="1" t="array" ref="D20">_xlfn.IFS(LEN(F20)=15,DATEDIF(TEXT("19"&amp;MID(F20,7,6),"0-00-00"),TODAY(),"y"),LEN(F20)=18,DATEDIF(TEXT(MID(F20,7,8),"0-00-00"),TODAY(),"y"),TRUE,"身份证错误")</f>
        <v>39</v>
      </c>
      <c r="E20" s="7" t="s">
        <v>16</v>
      </c>
      <c r="F20" s="8" t="s">
        <v>71</v>
      </c>
      <c r="G20" s="6" t="s">
        <v>18</v>
      </c>
      <c r="H20" s="6" t="s">
        <v>19</v>
      </c>
      <c r="I20" s="6" t="s">
        <v>20</v>
      </c>
      <c r="J20" s="7" t="s">
        <v>72</v>
      </c>
      <c r="K20" s="9">
        <v>13756163987</v>
      </c>
      <c r="L20" s="9"/>
    </row>
    <row r="21" spans="1:12">
      <c r="A21" s="5">
        <v>18</v>
      </c>
      <c r="B21" s="6" t="s">
        <v>73</v>
      </c>
      <c r="C21" s="5" t="s">
        <v>15</v>
      </c>
      <c r="D21" s="5" cm="1">
        <f ca="1" t="array" ref="D21">_xlfn.IFS(LEN(F21)=15,DATEDIF(TEXT("19"&amp;MID(F21,7,6),"0-00-00"),TODAY(),"y"),LEN(F21)=18,DATEDIF(TEXT(MID(F21,7,8),"0-00-00"),TODAY(),"y"),TRUE,"身份证错误")</f>
        <v>47</v>
      </c>
      <c r="E21" s="7" t="s">
        <v>16</v>
      </c>
      <c r="F21" s="8" t="s">
        <v>74</v>
      </c>
      <c r="G21" s="6" t="s">
        <v>18</v>
      </c>
      <c r="H21" s="6" t="s">
        <v>19</v>
      </c>
      <c r="I21" s="6" t="s">
        <v>20</v>
      </c>
      <c r="J21" s="7" t="s">
        <v>75</v>
      </c>
      <c r="K21" s="9">
        <v>19904454394</v>
      </c>
      <c r="L21" s="9"/>
    </row>
    <row r="22" spans="1:12">
      <c r="A22" s="5">
        <v>19</v>
      </c>
      <c r="B22" s="6" t="s">
        <v>76</v>
      </c>
      <c r="C22" s="5" t="s">
        <v>23</v>
      </c>
      <c r="D22" s="5" cm="1">
        <f ca="1" t="array" ref="D22">_xlfn.IFS(LEN(F22)=15,DATEDIF(TEXT("19"&amp;MID(F22,7,6),"0-00-00"),TODAY(),"y"),LEN(F22)=18,DATEDIF(TEXT(MID(F22,7,8),"0-00-00"),TODAY(),"y"),TRUE,"身份证错误")</f>
        <v>42</v>
      </c>
      <c r="E22" s="7" t="s">
        <v>16</v>
      </c>
      <c r="F22" s="8" t="s">
        <v>77</v>
      </c>
      <c r="G22" s="6" t="s">
        <v>18</v>
      </c>
      <c r="H22" s="6" t="s">
        <v>19</v>
      </c>
      <c r="I22" s="6" t="s">
        <v>20</v>
      </c>
      <c r="J22" s="7" t="s">
        <v>78</v>
      </c>
      <c r="K22" s="9">
        <v>18856825660</v>
      </c>
      <c r="L22" s="9"/>
    </row>
    <row r="23" spans="1:12">
      <c r="A23" s="5">
        <v>20</v>
      </c>
      <c r="B23" s="6" t="s">
        <v>79</v>
      </c>
      <c r="C23" s="5" t="s">
        <v>15</v>
      </c>
      <c r="D23" s="5" cm="1">
        <f ca="1" t="array" ref="D23">_xlfn.IFS(LEN(F23)=15,DATEDIF(TEXT("19"&amp;MID(F23,7,6),"0-00-00"),TODAY(),"y"),LEN(F23)=18,DATEDIF(TEXT(MID(F23,7,8),"0-00-00"),TODAY(),"y"),TRUE,"身份证错误")</f>
        <v>46</v>
      </c>
      <c r="E23" s="7" t="s">
        <v>16</v>
      </c>
      <c r="F23" s="8" t="s">
        <v>80</v>
      </c>
      <c r="G23" s="6" t="s">
        <v>18</v>
      </c>
      <c r="H23" s="6" t="s">
        <v>19</v>
      </c>
      <c r="I23" s="6" t="s">
        <v>20</v>
      </c>
      <c r="J23" s="7" t="s">
        <v>81</v>
      </c>
      <c r="K23" s="9">
        <v>13844825077</v>
      </c>
      <c r="L23" s="9"/>
    </row>
    <row r="24" spans="1:12">
      <c r="A24" s="5">
        <v>21</v>
      </c>
      <c r="B24" s="6" t="s">
        <v>82</v>
      </c>
      <c r="C24" s="5" t="s">
        <v>15</v>
      </c>
      <c r="D24" s="5">
        <v>51</v>
      </c>
      <c r="E24" s="7" t="s">
        <v>15</v>
      </c>
      <c r="F24" s="8" t="s">
        <v>83</v>
      </c>
      <c r="G24" s="6" t="s">
        <v>18</v>
      </c>
      <c r="H24" s="6" t="s">
        <v>19</v>
      </c>
      <c r="I24" s="6" t="s">
        <v>20</v>
      </c>
      <c r="J24" s="7" t="s">
        <v>84</v>
      </c>
      <c r="K24" s="9">
        <v>13804462949</v>
      </c>
      <c r="L24" s="9"/>
    </row>
    <row r="25" spans="1:12">
      <c r="A25" s="5">
        <v>22</v>
      </c>
      <c r="B25" s="6" t="s">
        <v>85</v>
      </c>
      <c r="C25" s="5" t="s">
        <v>15</v>
      </c>
      <c r="D25" s="6">
        <v>34</v>
      </c>
      <c r="E25" s="7" t="s">
        <v>16</v>
      </c>
      <c r="F25" s="8" t="s">
        <v>86</v>
      </c>
      <c r="G25" s="6" t="s">
        <v>18</v>
      </c>
      <c r="H25" s="6" t="s">
        <v>19</v>
      </c>
      <c r="I25" s="6" t="s">
        <v>20</v>
      </c>
      <c r="J25" s="7" t="s">
        <v>87</v>
      </c>
      <c r="K25" s="9">
        <v>15584271799</v>
      </c>
      <c r="L25" s="10"/>
    </row>
    <row r="26" spans="1:12">
      <c r="A26" s="5">
        <v>23</v>
      </c>
      <c r="B26" s="6" t="s">
        <v>88</v>
      </c>
      <c r="C26" s="5" t="s">
        <v>23</v>
      </c>
      <c r="D26" s="5">
        <v>30</v>
      </c>
      <c r="E26" s="7" t="s">
        <v>16</v>
      </c>
      <c r="F26" s="8" t="s">
        <v>89</v>
      </c>
      <c r="G26" s="6" t="s">
        <v>18</v>
      </c>
      <c r="H26" s="6" t="s">
        <v>19</v>
      </c>
      <c r="I26" s="6" t="s">
        <v>20</v>
      </c>
      <c r="J26" s="7" t="s">
        <v>90</v>
      </c>
      <c r="K26" s="9">
        <v>18843042165</v>
      </c>
      <c r="L26" s="10"/>
    </row>
    <row r="27" spans="1:12">
      <c r="A27" s="5">
        <v>24</v>
      </c>
      <c r="B27" s="6" t="s">
        <v>91</v>
      </c>
      <c r="C27" s="5" t="s">
        <v>23</v>
      </c>
      <c r="D27" s="11">
        <v>42</v>
      </c>
      <c r="E27" s="7" t="s">
        <v>16</v>
      </c>
      <c r="F27" s="8" t="s">
        <v>92</v>
      </c>
      <c r="G27" s="6" t="s">
        <v>18</v>
      </c>
      <c r="H27" s="6" t="s">
        <v>19</v>
      </c>
      <c r="I27" s="6" t="s">
        <v>20</v>
      </c>
      <c r="J27" s="7" t="s">
        <v>93</v>
      </c>
      <c r="K27" s="9">
        <v>15943069679</v>
      </c>
      <c r="L27" s="10"/>
    </row>
    <row r="28" spans="1:12">
      <c r="A28" s="5">
        <v>25</v>
      </c>
      <c r="B28" s="6" t="s">
        <v>94</v>
      </c>
      <c r="C28" s="5" t="s">
        <v>15</v>
      </c>
      <c r="D28" s="5">
        <v>42</v>
      </c>
      <c r="E28" s="7" t="s">
        <v>16</v>
      </c>
      <c r="F28" s="8" t="s">
        <v>95</v>
      </c>
      <c r="G28" s="6" t="s">
        <v>18</v>
      </c>
      <c r="H28" s="6" t="s">
        <v>19</v>
      </c>
      <c r="I28" s="6" t="s">
        <v>20</v>
      </c>
      <c r="J28" s="7" t="s">
        <v>96</v>
      </c>
      <c r="K28" s="9">
        <v>13943029395</v>
      </c>
      <c r="L28" s="10"/>
    </row>
    <row r="29" spans="1:12">
      <c r="A29" s="5">
        <v>26</v>
      </c>
      <c r="B29" s="6" t="s">
        <v>97</v>
      </c>
      <c r="C29" s="5" t="s">
        <v>15</v>
      </c>
      <c r="D29" s="5">
        <v>35</v>
      </c>
      <c r="E29" s="7" t="s">
        <v>16</v>
      </c>
      <c r="F29" s="8" t="s">
        <v>98</v>
      </c>
      <c r="G29" s="6" t="s">
        <v>18</v>
      </c>
      <c r="H29" s="6" t="s">
        <v>19</v>
      </c>
      <c r="I29" s="6" t="s">
        <v>20</v>
      </c>
      <c r="J29" s="7" t="s">
        <v>99</v>
      </c>
      <c r="K29" s="9">
        <v>18943970318</v>
      </c>
      <c r="L29" s="10"/>
    </row>
    <row r="30" spans="1:12">
      <c r="A30" s="5">
        <v>27</v>
      </c>
      <c r="B30" s="6" t="s">
        <v>100</v>
      </c>
      <c r="C30" s="5" t="s">
        <v>15</v>
      </c>
      <c r="D30" s="5" cm="1">
        <f ca="1" t="array" ref="D30">_xlfn.IFS(LEN(F30)=15,DATEDIF(TEXT("19"&amp;MID(F30,7,6),"0-00-00"),TODAY(),"y"),LEN(F30)=18,DATEDIF(TEXT(MID(F30,7,8),"0-00-00"),TODAY(),"y"),TRUE,"身份证错误")</f>
        <v>42</v>
      </c>
      <c r="E30" s="7" t="s">
        <v>16</v>
      </c>
      <c r="F30" s="8" t="s">
        <v>101</v>
      </c>
      <c r="G30" s="6" t="s">
        <v>18</v>
      </c>
      <c r="H30" s="6" t="s">
        <v>19</v>
      </c>
      <c r="I30" s="6" t="s">
        <v>20</v>
      </c>
      <c r="J30" s="7" t="s">
        <v>102</v>
      </c>
      <c r="K30" s="9">
        <v>15044099823</v>
      </c>
      <c r="L30" s="10"/>
    </row>
    <row r="31" spans="1:12">
      <c r="A31" s="5">
        <v>28</v>
      </c>
      <c r="B31" s="6" t="s">
        <v>103</v>
      </c>
      <c r="C31" s="5" t="s">
        <v>15</v>
      </c>
      <c r="D31" s="5" cm="1">
        <f ca="1" t="array" ref="D31">_xlfn.IFS(LEN(F31)=15,DATEDIF(TEXT("19"&amp;MID(F31,7,6),"0-00-00"),TODAY(),"y"),LEN(F31)=18,DATEDIF(TEXT(MID(F31,7,8),"0-00-00"),TODAY(),"y"),TRUE,"身份证错误")</f>
        <v>23</v>
      </c>
      <c r="E31" s="7" t="s">
        <v>16</v>
      </c>
      <c r="F31" s="8" t="s">
        <v>104</v>
      </c>
      <c r="G31" s="6" t="s">
        <v>18</v>
      </c>
      <c r="H31" s="6" t="s">
        <v>19</v>
      </c>
      <c r="I31" s="6" t="s">
        <v>20</v>
      </c>
      <c r="J31" s="7" t="s">
        <v>105</v>
      </c>
      <c r="K31" s="9">
        <v>18043150847</v>
      </c>
      <c r="L31" s="10"/>
    </row>
    <row r="32" spans="1:12">
      <c r="A32" s="5">
        <v>29</v>
      </c>
      <c r="B32" s="6" t="s">
        <v>106</v>
      </c>
      <c r="C32" s="5" t="s">
        <v>15</v>
      </c>
      <c r="D32" s="5" cm="1">
        <f ca="1" t="array" ref="D32">_xlfn.IFS(LEN(F32)=15,DATEDIF(TEXT("19"&amp;MID(F32,7,6),"0-00-00"),TODAY(),"y"),LEN(F32)=18,DATEDIF(TEXT(MID(F32,7,8),"0-00-00"),TODAY(),"y"),TRUE,"身份证错误")</f>
        <v>26</v>
      </c>
      <c r="E32" s="7" t="s">
        <v>16</v>
      </c>
      <c r="F32" s="8" t="s">
        <v>107</v>
      </c>
      <c r="G32" s="6" t="s">
        <v>18</v>
      </c>
      <c r="H32" s="6" t="s">
        <v>19</v>
      </c>
      <c r="I32" s="6" t="s">
        <v>20</v>
      </c>
      <c r="J32" s="7" t="s">
        <v>108</v>
      </c>
      <c r="K32" s="9">
        <v>18743183622</v>
      </c>
      <c r="L32" s="10"/>
    </row>
    <row r="33" spans="1:12">
      <c r="A33" s="5">
        <v>30</v>
      </c>
      <c r="B33" s="6" t="s">
        <v>109</v>
      </c>
      <c r="C33" s="5" t="s">
        <v>23</v>
      </c>
      <c r="D33" s="5" cm="1">
        <f ca="1" t="array" ref="D33">_xlfn.IFS(LEN(F33)=15,DATEDIF(TEXT("19"&amp;MID(F33,7,6),"0-00-00"),TODAY(),"y"),LEN(F33)=18,DATEDIF(TEXT(MID(F33,7,8),"0-00-00"),TODAY(),"y"),TRUE,"身份证错误")</f>
        <v>37</v>
      </c>
      <c r="E33" s="7" t="s">
        <v>16</v>
      </c>
      <c r="F33" s="8" t="s">
        <v>110</v>
      </c>
      <c r="G33" s="6" t="s">
        <v>18</v>
      </c>
      <c r="H33" s="6" t="s">
        <v>19</v>
      </c>
      <c r="I33" s="6" t="s">
        <v>20</v>
      </c>
      <c r="J33" s="7" t="s">
        <v>111</v>
      </c>
      <c r="K33" s="9">
        <v>13394483273</v>
      </c>
      <c r="L33" s="10"/>
    </row>
    <row r="34" spans="1:12">
      <c r="A34" s="5">
        <v>31</v>
      </c>
      <c r="B34" s="6" t="s">
        <v>112</v>
      </c>
      <c r="C34" s="5" t="s">
        <v>15</v>
      </c>
      <c r="D34" s="5" cm="1">
        <f ca="1" t="array" ref="D34">_xlfn.IFS(LEN(F34)=15,DATEDIF(TEXT("19"&amp;MID(F34,7,6),"0-00-00"),TODAY(),"y"),LEN(F34)=18,DATEDIF(TEXT(MID(F34,7,8),"0-00-00"),TODAY(),"y"),TRUE,"身份证错误")</f>
        <v>42</v>
      </c>
      <c r="E34" s="7" t="s">
        <v>16</v>
      </c>
      <c r="F34" s="8" t="s">
        <v>113</v>
      </c>
      <c r="G34" s="6" t="s">
        <v>18</v>
      </c>
      <c r="H34" s="6" t="s">
        <v>19</v>
      </c>
      <c r="I34" s="6" t="s">
        <v>20</v>
      </c>
      <c r="J34" s="7" t="s">
        <v>114</v>
      </c>
      <c r="K34" s="9">
        <v>17519266435</v>
      </c>
      <c r="L34" s="10"/>
    </row>
    <row r="35" spans="1:12">
      <c r="A35" t="s">
        <v>115</v>
      </c>
    </row>
  </sheetData>
  <mergeCells count="2">
    <mergeCell ref="A1:L1"/>
    <mergeCell ref="A2:L2"/>
  </mergeCells>
  <pageMargins left="0.751388888888889" right="0.629861111111111" top="1" bottom="0.62986111111111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Sugar</cp:lastModifiedBy>
  <dcterms:created xsi:type="dcterms:W3CDTF">2025-05-08T06:46:00Z</dcterms:created>
  <dcterms:modified xsi:type="dcterms:W3CDTF">2026-07-17T04:08:26Z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C2D564CDE37B439C8D38C0B76585B688_13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